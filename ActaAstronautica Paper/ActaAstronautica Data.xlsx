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ee\Documents\GitHub\Immersive-VR\ActaAstronautica Paper\"/>
    </mc:Choice>
  </mc:AlternateContent>
  <xr:revisionPtr revIDLastSave="0" documentId="13_ncr:1_{94ED606C-E319-4A73-9DA6-2A14B8AFED65}" xr6:coauthVersionLast="47" xr6:coauthVersionMax="47" xr10:uidLastSave="{00000000-0000-0000-0000-000000000000}"/>
  <bookViews>
    <workbookView xWindow="-120" yWindow="-120" windowWidth="38640" windowHeight="21120" activeTab="3" xr2:uid="{4D4985E6-CA19-499B-B059-4E6AB57B79FA}"/>
  </bookViews>
  <sheets>
    <sheet name="Positive Affect" sheetId="1" r:id="rId1"/>
    <sheet name="Negative Affect" sheetId="2" r:id="rId2"/>
    <sheet name="STAI" sheetId="3" r:id="rId3"/>
    <sheet name="Variables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H2" i="2"/>
  <c r="F7" i="2"/>
  <c r="G7" i="2"/>
  <c r="G7" i="1"/>
  <c r="F7" i="1"/>
  <c r="F3" i="1"/>
  <c r="G3" i="1"/>
  <c r="G3" i="2"/>
  <c r="F3" i="2"/>
  <c r="F3" i="3"/>
  <c r="G3" i="3"/>
  <c r="G7" i="3"/>
  <c r="F7" i="3"/>
  <c r="H7" i="3"/>
  <c r="H3" i="3"/>
  <c r="H7" i="2"/>
  <c r="H3" i="2"/>
  <c r="H7" i="1"/>
  <c r="H3" i="1"/>
  <c r="H21" i="3"/>
  <c r="G21" i="3"/>
  <c r="F21" i="3"/>
  <c r="H9" i="3"/>
  <c r="G9" i="3"/>
  <c r="F9" i="3"/>
  <c r="H20" i="3"/>
  <c r="G20" i="3"/>
  <c r="F20" i="3"/>
  <c r="H8" i="3"/>
  <c r="G8" i="3"/>
  <c r="F8" i="3"/>
  <c r="H6" i="3"/>
  <c r="G6" i="3"/>
  <c r="F6" i="3"/>
  <c r="H19" i="3"/>
  <c r="G19" i="3"/>
  <c r="F19" i="3"/>
  <c r="H18" i="3"/>
  <c r="G18" i="3"/>
  <c r="F18" i="3"/>
  <c r="H17" i="3"/>
  <c r="G17" i="3"/>
  <c r="F17" i="3"/>
  <c r="H16" i="3"/>
  <c r="G16" i="3"/>
  <c r="F16" i="3"/>
  <c r="H15" i="3"/>
  <c r="G15" i="3"/>
  <c r="F15" i="3"/>
  <c r="H5" i="3"/>
  <c r="G5" i="3"/>
  <c r="F5" i="3"/>
  <c r="H14" i="3"/>
  <c r="G14" i="3"/>
  <c r="F14" i="3"/>
  <c r="H4" i="3"/>
  <c r="G4" i="3"/>
  <c r="F4" i="3"/>
  <c r="H2" i="3"/>
  <c r="G2" i="3"/>
  <c r="F2" i="3"/>
  <c r="H13" i="3"/>
  <c r="G13" i="3"/>
  <c r="F13" i="3"/>
  <c r="H12" i="3"/>
  <c r="G12" i="3"/>
  <c r="F12" i="3"/>
  <c r="H11" i="3"/>
  <c r="G11" i="3"/>
  <c r="F11" i="3"/>
  <c r="H10" i="3"/>
  <c r="G10" i="3"/>
  <c r="F10" i="3"/>
  <c r="H21" i="1"/>
  <c r="G21" i="1"/>
  <c r="F21" i="1"/>
  <c r="H9" i="1"/>
  <c r="G9" i="1"/>
  <c r="F9" i="1"/>
  <c r="H20" i="1"/>
  <c r="G20" i="1"/>
  <c r="F20" i="1"/>
  <c r="H8" i="1"/>
  <c r="G8" i="1"/>
  <c r="F8" i="1"/>
  <c r="H6" i="1"/>
  <c r="G6" i="1"/>
  <c r="F6" i="1"/>
  <c r="H19" i="1"/>
  <c r="G19" i="1"/>
  <c r="F19" i="1"/>
  <c r="H18" i="1"/>
  <c r="G18" i="1"/>
  <c r="F18" i="1"/>
  <c r="H17" i="1"/>
  <c r="G17" i="1"/>
  <c r="F17" i="1"/>
  <c r="H16" i="1"/>
  <c r="G16" i="1"/>
  <c r="F16" i="1"/>
  <c r="H15" i="1"/>
  <c r="G15" i="1"/>
  <c r="F15" i="1"/>
  <c r="H5" i="1"/>
  <c r="G5" i="1"/>
  <c r="F5" i="1"/>
  <c r="H14" i="1"/>
  <c r="G14" i="1"/>
  <c r="F14" i="1"/>
  <c r="H4" i="1"/>
  <c r="G4" i="1"/>
  <c r="F4" i="1"/>
  <c r="H2" i="1"/>
  <c r="F2" i="1"/>
  <c r="H13" i="1"/>
  <c r="G13" i="1"/>
  <c r="F13" i="1"/>
  <c r="H12" i="1"/>
  <c r="G12" i="1"/>
  <c r="F12" i="1"/>
  <c r="H11" i="1"/>
  <c r="G11" i="1"/>
  <c r="F11" i="1"/>
  <c r="H10" i="1"/>
  <c r="G10" i="1"/>
  <c r="F10" i="1"/>
  <c r="H11" i="2"/>
  <c r="H12" i="2"/>
  <c r="H13" i="2"/>
  <c r="H4" i="2"/>
  <c r="H14" i="2"/>
  <c r="H5" i="2"/>
  <c r="H15" i="2"/>
  <c r="H16" i="2"/>
  <c r="H17" i="2"/>
  <c r="H18" i="2"/>
  <c r="H19" i="2"/>
  <c r="H6" i="2"/>
  <c r="H8" i="2"/>
  <c r="H20" i="2"/>
  <c r="H9" i="2"/>
  <c r="H21" i="2"/>
  <c r="G11" i="2"/>
  <c r="G12" i="2"/>
  <c r="G13" i="2"/>
  <c r="G2" i="2"/>
  <c r="G4" i="2"/>
  <c r="G14" i="2"/>
  <c r="G5" i="2"/>
  <c r="G15" i="2"/>
  <c r="G16" i="2"/>
  <c r="G17" i="2"/>
  <c r="G18" i="2"/>
  <c r="G19" i="2"/>
  <c r="G6" i="2"/>
  <c r="G8" i="2"/>
  <c r="G20" i="2"/>
  <c r="G9" i="2"/>
  <c r="G21" i="2"/>
  <c r="F11" i="2"/>
  <c r="F12" i="2"/>
  <c r="F13" i="2"/>
  <c r="F2" i="2"/>
  <c r="F4" i="2"/>
  <c r="F14" i="2"/>
  <c r="F5" i="2"/>
  <c r="F15" i="2"/>
  <c r="F16" i="2"/>
  <c r="F17" i="2"/>
  <c r="F18" i="2"/>
  <c r="F19" i="2"/>
  <c r="F6" i="2"/>
  <c r="F8" i="2"/>
  <c r="F20" i="2"/>
  <c r="F9" i="2"/>
  <c r="F21" i="2"/>
  <c r="H10" i="2"/>
  <c r="G10" i="2"/>
  <c r="F10" i="2"/>
</calcChain>
</file>

<file path=xl/sharedStrings.xml><?xml version="1.0" encoding="utf-8"?>
<sst xmlns="http://schemas.openxmlformats.org/spreadsheetml/2006/main" count="111" uniqueCount="38">
  <si>
    <t>ID</t>
  </si>
  <si>
    <t>Smell</t>
  </si>
  <si>
    <t>S0.1</t>
  </si>
  <si>
    <t>S0.2</t>
  </si>
  <si>
    <t>S0.3</t>
  </si>
  <si>
    <t>S0.4</t>
  </si>
  <si>
    <t>S1.1</t>
  </si>
  <si>
    <t>S1.4</t>
  </si>
  <si>
    <t>S1.7</t>
  </si>
  <si>
    <t>S1.12</t>
  </si>
  <si>
    <t>STAI</t>
  </si>
  <si>
    <t>S1.5</t>
  </si>
  <si>
    <t>1 Baseline</t>
  </si>
  <si>
    <t>2 Pre-VR</t>
  </si>
  <si>
    <t>3 Post-VR</t>
  </si>
  <si>
    <t>D1</t>
  </si>
  <si>
    <t>D2</t>
  </si>
  <si>
    <t>D3</t>
  </si>
  <si>
    <t>S1.2</t>
  </si>
  <si>
    <t>Prompt</t>
  </si>
  <si>
    <t>VirtualTSST</t>
  </si>
  <si>
    <t>0 = no scents, 1 = with scents</t>
  </si>
  <si>
    <t>Prompt (TSST)</t>
  </si>
  <si>
    <t>0 = prompt A (job), 1 = prompt B (shoplifting)</t>
  </si>
  <si>
    <t>Virtual TSST</t>
  </si>
  <si>
    <t>0 = real audience, 1 = virtual audience</t>
  </si>
  <si>
    <t>Variable name</t>
  </si>
  <si>
    <t>Values/Calculation</t>
  </si>
  <si>
    <t>Post VR - Baseline</t>
  </si>
  <si>
    <t>Post VR - Pre VR</t>
  </si>
  <si>
    <t xml:space="preserve">D1 </t>
  </si>
  <si>
    <t>Pre VR - Baseline</t>
  </si>
  <si>
    <t>Note: Subject IDs are named with the prefix "0" or "1" to indicate if the session was with or without scents. Example: "S0.3" is subject 3 without scents and "S1.3" is subject 3 in the with scents condition.</t>
  </si>
  <si>
    <t>Positive Affect</t>
  </si>
  <si>
    <t>sum of 10 positive affect items from PANAS</t>
  </si>
  <si>
    <t>Negative Affect</t>
  </si>
  <si>
    <t>sum of 10 negative affect items from PANAS</t>
  </si>
  <si>
    <t>Average of 6 items from STAI survey measuring anxiety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</si>
</sst>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" fontId="1" fillId="0" borderId="0" xfId="0" applyNumberFormat="1" applyFont="1"/>
    <xf numFmtId="0" fontId="0" fillId="0" borderId="0" xfId="0" applyFont="1"/>
    <xf numFmtId="0" fontId="3" fillId="0" borderId="0" xfId="0" applyFont="1" applyFill="1"/>
    <xf numFmtId="0" fontId="1" fillId="0" borderId="0" xfId="0" applyFont="1" applyAlignme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57E4F-C24F-4D12-8568-B4975CFFEB4A}">
  <dimension ref="A1:O39"/>
  <sheetViews>
    <sheetView workbookViewId="0">
      <selection activeCell="L1" sqref="L1:M9"/>
    </sheetView>
  </sheetViews>
  <sheetFormatPr defaultRowHeight="15" x14ac:dyDescent="0.25"/>
  <cols>
    <col min="10" max="10" width="14.28515625" customWidth="1"/>
    <col min="12" max="12" width="21" customWidth="1"/>
    <col min="13" max="13" width="39.7109375" customWidth="1"/>
  </cols>
  <sheetData>
    <row r="1" spans="1:15" x14ac:dyDescent="0.25">
      <c r="A1" s="1" t="s">
        <v>0</v>
      </c>
      <c r="B1" s="1" t="s">
        <v>12</v>
      </c>
      <c r="C1" s="1" t="s">
        <v>13</v>
      </c>
      <c r="D1" s="1" t="s">
        <v>14</v>
      </c>
      <c r="E1" s="2" t="s">
        <v>1</v>
      </c>
      <c r="F1" s="3" t="s">
        <v>15</v>
      </c>
      <c r="G1" s="1" t="s">
        <v>16</v>
      </c>
      <c r="H1" s="1" t="s">
        <v>17</v>
      </c>
      <c r="I1" s="1" t="s">
        <v>19</v>
      </c>
      <c r="J1" s="1" t="s">
        <v>20</v>
      </c>
      <c r="K1" s="1"/>
      <c r="L1" s="6"/>
      <c r="M1" s="6"/>
    </row>
    <row r="2" spans="1:15" x14ac:dyDescent="0.25">
      <c r="A2" s="1" t="s">
        <v>6</v>
      </c>
      <c r="B2">
        <v>22</v>
      </c>
      <c r="C2">
        <v>26</v>
      </c>
      <c r="D2">
        <v>26</v>
      </c>
      <c r="E2">
        <v>0</v>
      </c>
      <c r="F2">
        <f t="shared" ref="F2:F21" si="0">D2-B2</f>
        <v>4</v>
      </c>
      <c r="G2">
        <f>D2-C2</f>
        <v>0</v>
      </c>
      <c r="H2">
        <f t="shared" ref="H2:H21" si="1">C2-B2</f>
        <v>4</v>
      </c>
      <c r="I2">
        <v>0</v>
      </c>
      <c r="J2">
        <v>0</v>
      </c>
      <c r="K2" s="2"/>
      <c r="L2" s="4"/>
      <c r="M2" s="4"/>
      <c r="N2" s="4"/>
    </row>
    <row r="3" spans="1:15" x14ac:dyDescent="0.25">
      <c r="A3" s="1" t="s">
        <v>18</v>
      </c>
      <c r="B3">
        <v>22</v>
      </c>
      <c r="C3">
        <v>26</v>
      </c>
      <c r="D3">
        <v>26</v>
      </c>
      <c r="E3">
        <v>0</v>
      </c>
      <c r="F3">
        <f t="shared" si="0"/>
        <v>4</v>
      </c>
      <c r="G3">
        <f t="shared" ref="G2:G21" si="2">D3-C3</f>
        <v>0</v>
      </c>
      <c r="H3">
        <f t="shared" si="1"/>
        <v>4</v>
      </c>
      <c r="I3">
        <v>0</v>
      </c>
      <c r="J3">
        <v>0</v>
      </c>
    </row>
    <row r="4" spans="1:15" x14ac:dyDescent="0.25">
      <c r="A4" s="1" t="s">
        <v>7</v>
      </c>
      <c r="B4">
        <v>34</v>
      </c>
      <c r="C4">
        <v>36</v>
      </c>
      <c r="D4">
        <v>38</v>
      </c>
      <c r="E4">
        <v>0</v>
      </c>
      <c r="F4">
        <f t="shared" si="0"/>
        <v>4</v>
      </c>
      <c r="G4">
        <f t="shared" si="2"/>
        <v>2</v>
      </c>
      <c r="H4">
        <f t="shared" si="1"/>
        <v>2</v>
      </c>
      <c r="I4">
        <v>0</v>
      </c>
      <c r="J4">
        <v>0</v>
      </c>
    </row>
    <row r="5" spans="1:15" x14ac:dyDescent="0.25">
      <c r="A5" s="1" t="s">
        <v>8</v>
      </c>
      <c r="B5">
        <v>26</v>
      </c>
      <c r="C5">
        <v>24</v>
      </c>
      <c r="D5">
        <v>20</v>
      </c>
      <c r="E5">
        <v>0</v>
      </c>
      <c r="F5">
        <f t="shared" si="0"/>
        <v>-6</v>
      </c>
      <c r="G5">
        <f t="shared" si="2"/>
        <v>-4</v>
      </c>
      <c r="H5">
        <f t="shared" si="1"/>
        <v>-2</v>
      </c>
      <c r="I5">
        <v>1</v>
      </c>
      <c r="J5">
        <v>0</v>
      </c>
    </row>
    <row r="6" spans="1:15" x14ac:dyDescent="0.25">
      <c r="A6" s="1" t="s">
        <v>6</v>
      </c>
      <c r="B6">
        <v>25</v>
      </c>
      <c r="C6">
        <v>27</v>
      </c>
      <c r="D6">
        <v>28</v>
      </c>
      <c r="E6">
        <v>1</v>
      </c>
      <c r="F6">
        <f t="shared" si="0"/>
        <v>3</v>
      </c>
      <c r="G6">
        <f t="shared" si="2"/>
        <v>1</v>
      </c>
      <c r="H6">
        <f t="shared" si="1"/>
        <v>2</v>
      </c>
      <c r="I6">
        <v>1</v>
      </c>
      <c r="J6">
        <v>0</v>
      </c>
    </row>
    <row r="7" spans="1:15" x14ac:dyDescent="0.25">
      <c r="A7" s="1" t="s">
        <v>18</v>
      </c>
      <c r="B7">
        <v>21</v>
      </c>
      <c r="C7">
        <v>23</v>
      </c>
      <c r="D7">
        <v>22</v>
      </c>
      <c r="E7">
        <v>1</v>
      </c>
      <c r="F7">
        <f t="shared" si="0"/>
        <v>1</v>
      </c>
      <c r="G7">
        <f t="shared" si="2"/>
        <v>-1</v>
      </c>
      <c r="H7">
        <f t="shared" si="1"/>
        <v>2</v>
      </c>
      <c r="I7">
        <v>1</v>
      </c>
      <c r="J7">
        <v>0</v>
      </c>
    </row>
    <row r="8" spans="1:15" x14ac:dyDescent="0.25">
      <c r="A8" s="1" t="s">
        <v>7</v>
      </c>
      <c r="B8">
        <v>31</v>
      </c>
      <c r="C8">
        <v>33</v>
      </c>
      <c r="D8">
        <v>35</v>
      </c>
      <c r="E8">
        <v>1</v>
      </c>
      <c r="F8">
        <f t="shared" si="0"/>
        <v>4</v>
      </c>
      <c r="G8">
        <f t="shared" si="2"/>
        <v>2</v>
      </c>
      <c r="H8">
        <f t="shared" si="1"/>
        <v>2</v>
      </c>
      <c r="I8">
        <v>1</v>
      </c>
      <c r="J8">
        <v>0</v>
      </c>
    </row>
    <row r="9" spans="1:15" x14ac:dyDescent="0.25">
      <c r="A9" s="1" t="s">
        <v>8</v>
      </c>
      <c r="B9">
        <v>30</v>
      </c>
      <c r="C9">
        <v>27</v>
      </c>
      <c r="D9">
        <v>28</v>
      </c>
      <c r="E9">
        <v>1</v>
      </c>
      <c r="F9">
        <f t="shared" si="0"/>
        <v>-2</v>
      </c>
      <c r="G9">
        <f t="shared" si="2"/>
        <v>1</v>
      </c>
      <c r="H9">
        <f t="shared" si="1"/>
        <v>-3</v>
      </c>
      <c r="I9">
        <v>0</v>
      </c>
      <c r="J9">
        <v>0</v>
      </c>
    </row>
    <row r="10" spans="1:15" x14ac:dyDescent="0.25">
      <c r="A10" s="1" t="s">
        <v>2</v>
      </c>
      <c r="B10">
        <v>33</v>
      </c>
      <c r="C10">
        <v>34</v>
      </c>
      <c r="D10">
        <v>31</v>
      </c>
      <c r="E10">
        <v>0</v>
      </c>
      <c r="F10">
        <f t="shared" si="0"/>
        <v>-2</v>
      </c>
      <c r="G10">
        <f t="shared" si="2"/>
        <v>-3</v>
      </c>
      <c r="H10">
        <f t="shared" si="1"/>
        <v>1</v>
      </c>
      <c r="I10">
        <v>0</v>
      </c>
      <c r="J10">
        <v>1</v>
      </c>
    </row>
    <row r="11" spans="1:15" x14ac:dyDescent="0.25">
      <c r="A11" s="1" t="s">
        <v>3</v>
      </c>
      <c r="B11">
        <v>23</v>
      </c>
      <c r="C11">
        <v>21</v>
      </c>
      <c r="D11">
        <v>17</v>
      </c>
      <c r="E11">
        <v>0</v>
      </c>
      <c r="F11">
        <f t="shared" si="0"/>
        <v>-6</v>
      </c>
      <c r="G11">
        <f t="shared" si="2"/>
        <v>-4</v>
      </c>
      <c r="H11">
        <f t="shared" si="1"/>
        <v>-2</v>
      </c>
      <c r="I11">
        <v>1</v>
      </c>
      <c r="J11">
        <v>1</v>
      </c>
    </row>
    <row r="12" spans="1:15" x14ac:dyDescent="0.25">
      <c r="A12" s="1" t="s">
        <v>4</v>
      </c>
      <c r="B12">
        <v>33</v>
      </c>
      <c r="C12">
        <v>33</v>
      </c>
      <c r="D12">
        <v>40</v>
      </c>
      <c r="E12">
        <v>0</v>
      </c>
      <c r="F12">
        <f t="shared" si="0"/>
        <v>7</v>
      </c>
      <c r="G12">
        <f t="shared" si="2"/>
        <v>7</v>
      </c>
      <c r="H12">
        <f t="shared" si="1"/>
        <v>0</v>
      </c>
      <c r="I12">
        <v>0</v>
      </c>
      <c r="J12">
        <v>1</v>
      </c>
      <c r="K12" s="1"/>
      <c r="L12" s="1"/>
      <c r="M12" s="1"/>
      <c r="N12" s="1"/>
      <c r="O12" s="1"/>
    </row>
    <row r="13" spans="1:15" x14ac:dyDescent="0.25">
      <c r="A13" s="1" t="s">
        <v>5</v>
      </c>
      <c r="B13">
        <v>24</v>
      </c>
      <c r="C13">
        <v>28</v>
      </c>
      <c r="D13">
        <v>29</v>
      </c>
      <c r="E13">
        <v>0</v>
      </c>
      <c r="F13">
        <f t="shared" si="0"/>
        <v>5</v>
      </c>
      <c r="G13">
        <f t="shared" si="2"/>
        <v>1</v>
      </c>
      <c r="H13">
        <f t="shared" si="1"/>
        <v>4</v>
      </c>
      <c r="I13">
        <v>1</v>
      </c>
      <c r="J13">
        <v>1</v>
      </c>
      <c r="K13" s="1"/>
      <c r="L13" s="1"/>
      <c r="M13" s="1"/>
      <c r="N13" s="1"/>
      <c r="O13" s="1"/>
    </row>
    <row r="14" spans="1:15" x14ac:dyDescent="0.25">
      <c r="A14" s="1" t="s">
        <v>11</v>
      </c>
      <c r="B14">
        <v>42</v>
      </c>
      <c r="C14">
        <v>50</v>
      </c>
      <c r="D14">
        <v>38</v>
      </c>
      <c r="E14">
        <v>0</v>
      </c>
      <c r="F14">
        <f t="shared" si="0"/>
        <v>-4</v>
      </c>
      <c r="G14">
        <f t="shared" si="2"/>
        <v>-12</v>
      </c>
      <c r="H14">
        <f t="shared" si="1"/>
        <v>8</v>
      </c>
      <c r="I14">
        <v>0</v>
      </c>
      <c r="J14">
        <v>1</v>
      </c>
      <c r="K14" s="1"/>
      <c r="L14" s="1"/>
      <c r="M14" s="1"/>
      <c r="N14" s="1"/>
      <c r="O14" s="1"/>
    </row>
    <row r="15" spans="1:15" x14ac:dyDescent="0.25">
      <c r="A15" s="1" t="s">
        <v>9</v>
      </c>
      <c r="B15">
        <v>18</v>
      </c>
      <c r="C15">
        <v>25</v>
      </c>
      <c r="D15">
        <v>17</v>
      </c>
      <c r="E15">
        <v>0</v>
      </c>
      <c r="F15">
        <f t="shared" si="0"/>
        <v>-1</v>
      </c>
      <c r="G15">
        <f t="shared" si="2"/>
        <v>-8</v>
      </c>
      <c r="H15">
        <f t="shared" si="1"/>
        <v>7</v>
      </c>
      <c r="I15">
        <v>1</v>
      </c>
      <c r="J15">
        <v>1</v>
      </c>
      <c r="K15" s="1"/>
      <c r="L15" s="1"/>
      <c r="M15" s="1"/>
      <c r="N15" s="1"/>
      <c r="O15" s="1"/>
    </row>
    <row r="16" spans="1:15" x14ac:dyDescent="0.25">
      <c r="A16" s="1" t="s">
        <v>2</v>
      </c>
      <c r="B16">
        <v>21</v>
      </c>
      <c r="C16">
        <v>32</v>
      </c>
      <c r="D16">
        <v>27</v>
      </c>
      <c r="E16">
        <v>1</v>
      </c>
      <c r="F16">
        <f t="shared" si="0"/>
        <v>6</v>
      </c>
      <c r="G16">
        <f t="shared" si="2"/>
        <v>-5</v>
      </c>
      <c r="H16">
        <f t="shared" si="1"/>
        <v>11</v>
      </c>
      <c r="I16">
        <v>1</v>
      </c>
      <c r="J16">
        <v>1</v>
      </c>
      <c r="K16" s="1"/>
      <c r="L16" s="1"/>
      <c r="M16" s="1"/>
      <c r="N16" s="1"/>
      <c r="O16" s="1"/>
    </row>
    <row r="17" spans="1:15" x14ac:dyDescent="0.25">
      <c r="A17" s="1" t="s">
        <v>3</v>
      </c>
      <c r="B17">
        <v>13</v>
      </c>
      <c r="C17">
        <v>16</v>
      </c>
      <c r="D17">
        <v>17</v>
      </c>
      <c r="E17">
        <v>1</v>
      </c>
      <c r="F17">
        <f t="shared" si="0"/>
        <v>4</v>
      </c>
      <c r="G17">
        <f t="shared" si="2"/>
        <v>1</v>
      </c>
      <c r="H17">
        <f t="shared" si="1"/>
        <v>3</v>
      </c>
      <c r="I17">
        <v>0</v>
      </c>
      <c r="J17">
        <v>1</v>
      </c>
      <c r="K17" s="1"/>
      <c r="L17" s="1"/>
      <c r="M17" s="1"/>
      <c r="N17" s="1"/>
      <c r="O17" s="1"/>
    </row>
    <row r="18" spans="1:15" x14ac:dyDescent="0.25">
      <c r="A18" s="1" t="s">
        <v>4</v>
      </c>
      <c r="B18">
        <v>37</v>
      </c>
      <c r="C18">
        <v>31</v>
      </c>
      <c r="D18">
        <v>36</v>
      </c>
      <c r="E18">
        <v>1</v>
      </c>
      <c r="F18">
        <f t="shared" si="0"/>
        <v>-1</v>
      </c>
      <c r="G18">
        <f t="shared" si="2"/>
        <v>5</v>
      </c>
      <c r="H18">
        <f t="shared" si="1"/>
        <v>-6</v>
      </c>
      <c r="I18">
        <v>1</v>
      </c>
      <c r="J18">
        <v>1</v>
      </c>
      <c r="K18" s="1"/>
      <c r="L18" s="1"/>
      <c r="M18" s="1"/>
      <c r="N18" s="1"/>
      <c r="O18" s="1"/>
    </row>
    <row r="19" spans="1:15" x14ac:dyDescent="0.25">
      <c r="A19" s="1" t="s">
        <v>5</v>
      </c>
      <c r="B19">
        <v>38</v>
      </c>
      <c r="C19">
        <v>30</v>
      </c>
      <c r="D19">
        <v>23</v>
      </c>
      <c r="E19">
        <v>1</v>
      </c>
      <c r="F19">
        <f t="shared" si="0"/>
        <v>-15</v>
      </c>
      <c r="G19">
        <f t="shared" si="2"/>
        <v>-7</v>
      </c>
      <c r="H19">
        <f t="shared" si="1"/>
        <v>-8</v>
      </c>
      <c r="I19">
        <v>0</v>
      </c>
      <c r="J19">
        <v>1</v>
      </c>
      <c r="K19" s="1"/>
      <c r="L19" s="1"/>
      <c r="M19" s="1"/>
      <c r="N19" s="1"/>
      <c r="O19" s="1"/>
    </row>
    <row r="20" spans="1:15" x14ac:dyDescent="0.25">
      <c r="A20" s="1" t="s">
        <v>11</v>
      </c>
      <c r="B20">
        <v>35</v>
      </c>
      <c r="C20">
        <v>40</v>
      </c>
      <c r="D20">
        <v>48</v>
      </c>
      <c r="E20">
        <v>1</v>
      </c>
      <c r="F20">
        <f t="shared" si="0"/>
        <v>13</v>
      </c>
      <c r="G20">
        <f t="shared" si="2"/>
        <v>8</v>
      </c>
      <c r="H20">
        <f t="shared" si="1"/>
        <v>5</v>
      </c>
      <c r="I20">
        <v>1</v>
      </c>
      <c r="J20">
        <v>1</v>
      </c>
      <c r="K20" s="1"/>
      <c r="L20" s="1"/>
      <c r="M20" s="1"/>
      <c r="N20" s="1"/>
      <c r="O20" s="1"/>
    </row>
    <row r="21" spans="1:15" x14ac:dyDescent="0.25">
      <c r="A21" s="1" t="s">
        <v>9</v>
      </c>
      <c r="B21">
        <v>27</v>
      </c>
      <c r="C21">
        <v>25</v>
      </c>
      <c r="D21">
        <v>21</v>
      </c>
      <c r="E21">
        <v>1</v>
      </c>
      <c r="F21">
        <f t="shared" si="0"/>
        <v>-6</v>
      </c>
      <c r="G21">
        <f t="shared" si="2"/>
        <v>-4</v>
      </c>
      <c r="H21">
        <f t="shared" si="1"/>
        <v>-2</v>
      </c>
      <c r="I21">
        <v>0</v>
      </c>
      <c r="J21">
        <v>1</v>
      </c>
      <c r="K21" s="1"/>
      <c r="L21" s="1"/>
      <c r="M21" s="1"/>
      <c r="N21" s="1"/>
      <c r="O21" s="1"/>
    </row>
    <row r="22" spans="1:15" x14ac:dyDescent="0.25"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/>
      <c r="B23" s="1"/>
      <c r="C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</sheetData>
  <sortState xmlns:xlrd2="http://schemas.microsoft.com/office/spreadsheetml/2017/richdata2" ref="A2:J39">
    <sortCondition ref="J1:J3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DD82D-B00E-4F31-82A1-DD795CFECC7F}">
  <dimension ref="A1:M39"/>
  <sheetViews>
    <sheetView workbookViewId="0">
      <selection activeCell="F2" sqref="F2"/>
    </sheetView>
  </sheetViews>
  <sheetFormatPr defaultRowHeight="15" x14ac:dyDescent="0.25"/>
  <cols>
    <col min="5" max="5" width="8.7109375" customWidth="1"/>
    <col min="6" max="6" width="10.28515625" bestFit="1" customWidth="1"/>
    <col min="7" max="7" width="14" bestFit="1" customWidth="1"/>
    <col min="10" max="10" width="14.28515625" customWidth="1"/>
    <col min="11" max="11" width="14.85546875" bestFit="1" customWidth="1"/>
    <col min="12" max="12" width="10.28515625" bestFit="1" customWidth="1"/>
    <col min="13" max="13" width="14" bestFit="1" customWidth="1"/>
  </cols>
  <sheetData>
    <row r="1" spans="1:13" x14ac:dyDescent="0.25">
      <c r="A1" s="1" t="s">
        <v>0</v>
      </c>
      <c r="B1" s="1" t="s">
        <v>12</v>
      </c>
      <c r="C1" s="1" t="s">
        <v>13</v>
      </c>
      <c r="D1" s="1" t="s">
        <v>14</v>
      </c>
      <c r="E1" s="2" t="s">
        <v>1</v>
      </c>
      <c r="F1" s="3" t="s">
        <v>15</v>
      </c>
      <c r="G1" s="1" t="s">
        <v>16</v>
      </c>
      <c r="H1" s="1" t="s">
        <v>17</v>
      </c>
      <c r="I1" s="1" t="s">
        <v>19</v>
      </c>
      <c r="J1" s="1" t="s">
        <v>20</v>
      </c>
      <c r="K1" s="1"/>
      <c r="L1" s="1"/>
      <c r="M1" s="1"/>
    </row>
    <row r="2" spans="1:13" x14ac:dyDescent="0.25">
      <c r="A2" s="1" t="s">
        <v>6</v>
      </c>
      <c r="B2">
        <v>11</v>
      </c>
      <c r="C2">
        <v>12</v>
      </c>
      <c r="D2">
        <v>12</v>
      </c>
      <c r="E2">
        <v>0</v>
      </c>
      <c r="F2">
        <f t="shared" ref="F2:F21" si="0">D2-B2</f>
        <v>1</v>
      </c>
      <c r="G2">
        <f t="shared" ref="G2:G21" si="1">D2-C2</f>
        <v>0</v>
      </c>
      <c r="H2">
        <f t="shared" ref="H2:H21" si="2">C2-B2</f>
        <v>1</v>
      </c>
      <c r="I2">
        <v>0</v>
      </c>
      <c r="J2">
        <v>0</v>
      </c>
      <c r="K2" s="2"/>
      <c r="L2" s="1"/>
      <c r="M2" s="1"/>
    </row>
    <row r="3" spans="1:13" x14ac:dyDescent="0.25">
      <c r="A3" s="1" t="s">
        <v>18</v>
      </c>
      <c r="B3">
        <v>11</v>
      </c>
      <c r="C3">
        <v>12</v>
      </c>
      <c r="D3">
        <v>12</v>
      </c>
      <c r="E3">
        <v>0</v>
      </c>
      <c r="F3">
        <f t="shared" si="0"/>
        <v>1</v>
      </c>
      <c r="G3">
        <f t="shared" si="1"/>
        <v>0</v>
      </c>
      <c r="H3">
        <f t="shared" si="2"/>
        <v>1</v>
      </c>
      <c r="I3">
        <v>0</v>
      </c>
      <c r="J3">
        <v>0</v>
      </c>
    </row>
    <row r="4" spans="1:13" x14ac:dyDescent="0.25">
      <c r="A4" s="1" t="s">
        <v>7</v>
      </c>
      <c r="B4">
        <v>10</v>
      </c>
      <c r="C4">
        <v>12</v>
      </c>
      <c r="D4">
        <v>10</v>
      </c>
      <c r="E4">
        <v>0</v>
      </c>
      <c r="F4">
        <f t="shared" si="0"/>
        <v>0</v>
      </c>
      <c r="G4">
        <f t="shared" si="1"/>
        <v>-2</v>
      </c>
      <c r="H4">
        <f t="shared" si="2"/>
        <v>2</v>
      </c>
      <c r="I4">
        <v>0</v>
      </c>
      <c r="J4">
        <v>0</v>
      </c>
    </row>
    <row r="5" spans="1:13" x14ac:dyDescent="0.25">
      <c r="A5" s="1" t="s">
        <v>8</v>
      </c>
      <c r="B5">
        <v>14</v>
      </c>
      <c r="C5">
        <v>26</v>
      </c>
      <c r="D5">
        <v>13</v>
      </c>
      <c r="E5">
        <v>0</v>
      </c>
      <c r="F5">
        <f t="shared" si="0"/>
        <v>-1</v>
      </c>
      <c r="G5">
        <f t="shared" si="1"/>
        <v>-13</v>
      </c>
      <c r="H5">
        <f t="shared" si="2"/>
        <v>12</v>
      </c>
      <c r="I5">
        <v>1</v>
      </c>
      <c r="J5">
        <v>0</v>
      </c>
    </row>
    <row r="6" spans="1:13" x14ac:dyDescent="0.25">
      <c r="A6" s="1" t="s">
        <v>6</v>
      </c>
      <c r="B6">
        <v>15</v>
      </c>
      <c r="C6">
        <v>18</v>
      </c>
      <c r="D6">
        <v>13</v>
      </c>
      <c r="E6">
        <v>1</v>
      </c>
      <c r="F6">
        <f t="shared" si="0"/>
        <v>-2</v>
      </c>
      <c r="G6">
        <f t="shared" si="1"/>
        <v>-5</v>
      </c>
      <c r="H6">
        <f t="shared" si="2"/>
        <v>3</v>
      </c>
      <c r="I6">
        <v>1</v>
      </c>
      <c r="J6">
        <v>0</v>
      </c>
    </row>
    <row r="7" spans="1:13" x14ac:dyDescent="0.25">
      <c r="A7" s="1" t="s">
        <v>18</v>
      </c>
      <c r="B7">
        <v>12</v>
      </c>
      <c r="C7">
        <v>15</v>
      </c>
      <c r="D7">
        <v>10</v>
      </c>
      <c r="E7">
        <v>1</v>
      </c>
      <c r="F7">
        <f t="shared" si="0"/>
        <v>-2</v>
      </c>
      <c r="G7">
        <f t="shared" si="1"/>
        <v>-5</v>
      </c>
      <c r="H7">
        <f t="shared" si="2"/>
        <v>3</v>
      </c>
      <c r="I7">
        <v>1</v>
      </c>
      <c r="J7">
        <v>0</v>
      </c>
    </row>
    <row r="8" spans="1:13" x14ac:dyDescent="0.25">
      <c r="A8" s="1" t="s">
        <v>7</v>
      </c>
      <c r="B8">
        <v>13</v>
      </c>
      <c r="C8">
        <v>13</v>
      </c>
      <c r="D8">
        <v>12</v>
      </c>
      <c r="E8">
        <v>1</v>
      </c>
      <c r="F8">
        <f t="shared" si="0"/>
        <v>-1</v>
      </c>
      <c r="G8">
        <f t="shared" si="1"/>
        <v>-1</v>
      </c>
      <c r="H8">
        <f t="shared" si="2"/>
        <v>0</v>
      </c>
      <c r="I8">
        <v>1</v>
      </c>
      <c r="J8">
        <v>0</v>
      </c>
    </row>
    <row r="9" spans="1:13" x14ac:dyDescent="0.25">
      <c r="A9" s="1" t="s">
        <v>8</v>
      </c>
      <c r="B9">
        <v>20</v>
      </c>
      <c r="C9">
        <v>18</v>
      </c>
      <c r="D9">
        <v>14</v>
      </c>
      <c r="E9">
        <v>1</v>
      </c>
      <c r="F9">
        <f t="shared" si="0"/>
        <v>-6</v>
      </c>
      <c r="G9">
        <f t="shared" si="1"/>
        <v>-4</v>
      </c>
      <c r="H9">
        <f t="shared" si="2"/>
        <v>-2</v>
      </c>
      <c r="I9">
        <v>0</v>
      </c>
      <c r="J9">
        <v>0</v>
      </c>
    </row>
    <row r="10" spans="1:13" x14ac:dyDescent="0.25">
      <c r="A10" s="1" t="s">
        <v>2</v>
      </c>
      <c r="B10">
        <v>12</v>
      </c>
      <c r="C10">
        <v>18</v>
      </c>
      <c r="D10">
        <v>12</v>
      </c>
      <c r="E10">
        <v>0</v>
      </c>
      <c r="F10">
        <f t="shared" si="0"/>
        <v>0</v>
      </c>
      <c r="G10">
        <f t="shared" si="1"/>
        <v>-6</v>
      </c>
      <c r="H10">
        <f t="shared" si="2"/>
        <v>6</v>
      </c>
      <c r="I10">
        <v>0</v>
      </c>
      <c r="J10">
        <v>1</v>
      </c>
    </row>
    <row r="11" spans="1:13" x14ac:dyDescent="0.25">
      <c r="A11" s="1" t="s">
        <v>3</v>
      </c>
      <c r="B11">
        <v>13</v>
      </c>
      <c r="C11">
        <v>15</v>
      </c>
      <c r="D11">
        <v>11</v>
      </c>
      <c r="E11">
        <v>0</v>
      </c>
      <c r="F11">
        <f t="shared" si="0"/>
        <v>-2</v>
      </c>
      <c r="G11">
        <f t="shared" si="1"/>
        <v>-4</v>
      </c>
      <c r="H11">
        <f t="shared" si="2"/>
        <v>2</v>
      </c>
      <c r="I11">
        <v>1</v>
      </c>
      <c r="J11">
        <v>1</v>
      </c>
    </row>
    <row r="12" spans="1:13" x14ac:dyDescent="0.25">
      <c r="A12" s="1" t="s">
        <v>4</v>
      </c>
      <c r="B12">
        <v>10</v>
      </c>
      <c r="C12">
        <v>20</v>
      </c>
      <c r="D12">
        <v>14</v>
      </c>
      <c r="E12">
        <v>0</v>
      </c>
      <c r="F12">
        <f t="shared" si="0"/>
        <v>4</v>
      </c>
      <c r="G12">
        <f t="shared" si="1"/>
        <v>-6</v>
      </c>
      <c r="H12">
        <f t="shared" si="2"/>
        <v>10</v>
      </c>
      <c r="I12">
        <v>0</v>
      </c>
      <c r="J12">
        <v>1</v>
      </c>
    </row>
    <row r="13" spans="1:13" x14ac:dyDescent="0.25">
      <c r="A13" s="1" t="s">
        <v>5</v>
      </c>
      <c r="B13">
        <v>16</v>
      </c>
      <c r="C13">
        <v>17</v>
      </c>
      <c r="D13">
        <v>13</v>
      </c>
      <c r="E13">
        <v>0</v>
      </c>
      <c r="F13">
        <f t="shared" si="0"/>
        <v>-3</v>
      </c>
      <c r="G13">
        <f t="shared" si="1"/>
        <v>-4</v>
      </c>
      <c r="H13">
        <f t="shared" si="2"/>
        <v>1</v>
      </c>
      <c r="I13">
        <v>1</v>
      </c>
      <c r="J13">
        <v>1</v>
      </c>
    </row>
    <row r="14" spans="1:13" x14ac:dyDescent="0.25">
      <c r="A14" s="1" t="s">
        <v>11</v>
      </c>
      <c r="B14">
        <v>10</v>
      </c>
      <c r="C14">
        <v>10</v>
      </c>
      <c r="D14">
        <v>13</v>
      </c>
      <c r="E14">
        <v>0</v>
      </c>
      <c r="F14">
        <f t="shared" si="0"/>
        <v>3</v>
      </c>
      <c r="G14">
        <f t="shared" si="1"/>
        <v>3</v>
      </c>
      <c r="H14">
        <f t="shared" si="2"/>
        <v>0</v>
      </c>
      <c r="I14">
        <v>0</v>
      </c>
      <c r="J14">
        <v>1</v>
      </c>
      <c r="K14" s="1"/>
    </row>
    <row r="15" spans="1:13" x14ac:dyDescent="0.25">
      <c r="A15" s="1" t="s">
        <v>9</v>
      </c>
      <c r="B15">
        <v>11</v>
      </c>
      <c r="C15">
        <v>12</v>
      </c>
      <c r="D15">
        <v>13</v>
      </c>
      <c r="E15">
        <v>0</v>
      </c>
      <c r="F15">
        <f t="shared" si="0"/>
        <v>2</v>
      </c>
      <c r="G15">
        <f t="shared" si="1"/>
        <v>1</v>
      </c>
      <c r="H15">
        <f t="shared" si="2"/>
        <v>1</v>
      </c>
      <c r="I15">
        <v>1</v>
      </c>
      <c r="J15">
        <v>1</v>
      </c>
      <c r="K15" s="1"/>
    </row>
    <row r="16" spans="1:13" x14ac:dyDescent="0.25">
      <c r="A16" s="1" t="s">
        <v>2</v>
      </c>
      <c r="B16">
        <v>11</v>
      </c>
      <c r="C16">
        <v>16</v>
      </c>
      <c r="D16">
        <v>11</v>
      </c>
      <c r="E16">
        <v>1</v>
      </c>
      <c r="F16">
        <f t="shared" si="0"/>
        <v>0</v>
      </c>
      <c r="G16">
        <f t="shared" si="1"/>
        <v>-5</v>
      </c>
      <c r="H16">
        <f t="shared" si="2"/>
        <v>5</v>
      </c>
      <c r="I16">
        <v>1</v>
      </c>
      <c r="J16">
        <v>1</v>
      </c>
      <c r="K16" s="1"/>
    </row>
    <row r="17" spans="1:11" x14ac:dyDescent="0.25">
      <c r="A17" s="1" t="s">
        <v>3</v>
      </c>
      <c r="B17">
        <v>11</v>
      </c>
      <c r="C17">
        <v>11</v>
      </c>
      <c r="D17">
        <v>10</v>
      </c>
      <c r="E17">
        <v>1</v>
      </c>
      <c r="F17">
        <f t="shared" si="0"/>
        <v>-1</v>
      </c>
      <c r="G17">
        <f t="shared" si="1"/>
        <v>-1</v>
      </c>
      <c r="H17">
        <f t="shared" si="2"/>
        <v>0</v>
      </c>
      <c r="I17">
        <v>0</v>
      </c>
      <c r="J17">
        <v>1</v>
      </c>
      <c r="K17" s="1"/>
    </row>
    <row r="18" spans="1:11" x14ac:dyDescent="0.25">
      <c r="A18" s="1" t="s">
        <v>4</v>
      </c>
      <c r="B18">
        <v>15</v>
      </c>
      <c r="C18">
        <v>21</v>
      </c>
      <c r="D18">
        <v>11</v>
      </c>
      <c r="E18">
        <v>1</v>
      </c>
      <c r="F18">
        <f t="shared" si="0"/>
        <v>-4</v>
      </c>
      <c r="G18">
        <f t="shared" si="1"/>
        <v>-10</v>
      </c>
      <c r="H18">
        <f t="shared" si="2"/>
        <v>6</v>
      </c>
      <c r="I18">
        <v>1</v>
      </c>
      <c r="J18">
        <v>1</v>
      </c>
      <c r="K18" s="1"/>
    </row>
    <row r="19" spans="1:11" x14ac:dyDescent="0.25">
      <c r="A19" s="1" t="s">
        <v>5</v>
      </c>
      <c r="B19">
        <v>21</v>
      </c>
      <c r="C19">
        <v>21</v>
      </c>
      <c r="D19">
        <v>14</v>
      </c>
      <c r="E19">
        <v>1</v>
      </c>
      <c r="F19">
        <f t="shared" si="0"/>
        <v>-7</v>
      </c>
      <c r="G19">
        <f t="shared" si="1"/>
        <v>-7</v>
      </c>
      <c r="H19">
        <f t="shared" si="2"/>
        <v>0</v>
      </c>
      <c r="I19">
        <v>0</v>
      </c>
      <c r="J19">
        <v>1</v>
      </c>
      <c r="K19" s="1"/>
    </row>
    <row r="20" spans="1:11" x14ac:dyDescent="0.25">
      <c r="A20" s="1" t="s">
        <v>11</v>
      </c>
      <c r="B20">
        <v>10</v>
      </c>
      <c r="C20">
        <v>13</v>
      </c>
      <c r="D20">
        <v>10</v>
      </c>
      <c r="E20">
        <v>1</v>
      </c>
      <c r="F20">
        <f t="shared" si="0"/>
        <v>0</v>
      </c>
      <c r="G20">
        <f t="shared" si="1"/>
        <v>-3</v>
      </c>
      <c r="H20">
        <f t="shared" si="2"/>
        <v>3</v>
      </c>
      <c r="I20">
        <v>1</v>
      </c>
      <c r="J20">
        <v>1</v>
      </c>
      <c r="K20" s="1"/>
    </row>
    <row r="21" spans="1:11" x14ac:dyDescent="0.25">
      <c r="A21" s="1" t="s">
        <v>9</v>
      </c>
      <c r="B21">
        <v>10</v>
      </c>
      <c r="C21">
        <v>12</v>
      </c>
      <c r="D21">
        <v>12</v>
      </c>
      <c r="E21">
        <v>1</v>
      </c>
      <c r="F21">
        <f t="shared" si="0"/>
        <v>2</v>
      </c>
      <c r="G21">
        <f t="shared" si="1"/>
        <v>0</v>
      </c>
      <c r="H21">
        <f t="shared" si="2"/>
        <v>2</v>
      </c>
      <c r="I21">
        <v>0</v>
      </c>
      <c r="J21">
        <v>1</v>
      </c>
      <c r="K21" s="1"/>
    </row>
    <row r="22" spans="1:11" x14ac:dyDescent="0.25">
      <c r="F22" s="1"/>
      <c r="G22" s="1"/>
      <c r="H22" s="1"/>
      <c r="I22" s="1"/>
      <c r="J22" s="1"/>
      <c r="K22" s="1"/>
    </row>
    <row r="23" spans="1:11" x14ac:dyDescent="0.25"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</sheetData>
  <sortState xmlns:xlrd2="http://schemas.microsoft.com/office/spreadsheetml/2017/richdata2" ref="A2:J40">
    <sortCondition ref="J1:J40"/>
  </sortState>
  <conditionalFormatting sqref="I1">
    <cfRule type="cellIs" dxfId="1" priority="2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ED46-FB78-48F7-B377-A204D166946B}">
  <dimension ref="A1:M39"/>
  <sheetViews>
    <sheetView workbookViewId="0">
      <selection activeCell="F10" sqref="F10"/>
    </sheetView>
  </sheetViews>
  <sheetFormatPr defaultRowHeight="15" x14ac:dyDescent="0.25"/>
  <cols>
    <col min="10" max="10" width="14.28515625" customWidth="1"/>
  </cols>
  <sheetData>
    <row r="1" spans="1:13" x14ac:dyDescent="0.25">
      <c r="A1" s="1" t="s">
        <v>0</v>
      </c>
      <c r="B1" s="1" t="s">
        <v>12</v>
      </c>
      <c r="C1" s="1" t="s">
        <v>13</v>
      </c>
      <c r="D1" s="1" t="s">
        <v>14</v>
      </c>
      <c r="E1" s="2" t="s">
        <v>1</v>
      </c>
      <c r="F1" s="3" t="s">
        <v>15</v>
      </c>
      <c r="G1" s="1" t="s">
        <v>16</v>
      </c>
      <c r="H1" s="1" t="s">
        <v>17</v>
      </c>
      <c r="I1" s="1" t="s">
        <v>19</v>
      </c>
      <c r="J1" s="1" t="s">
        <v>20</v>
      </c>
      <c r="K1" s="1"/>
      <c r="L1" s="1"/>
      <c r="M1" s="1"/>
    </row>
    <row r="2" spans="1:13" x14ac:dyDescent="0.25">
      <c r="A2" s="1" t="s">
        <v>6</v>
      </c>
      <c r="B2" s="5">
        <v>10</v>
      </c>
      <c r="C2" s="5">
        <v>14</v>
      </c>
      <c r="D2" s="5">
        <v>10</v>
      </c>
      <c r="E2" s="5">
        <v>0</v>
      </c>
      <c r="F2" s="5">
        <f t="shared" ref="F2:F21" si="0">D2-B2</f>
        <v>0</v>
      </c>
      <c r="G2" s="5">
        <f t="shared" ref="G2:G21" si="1">D2-C2</f>
        <v>-4</v>
      </c>
      <c r="H2" s="5">
        <f t="shared" ref="H2:H21" si="2">C2-B2</f>
        <v>4</v>
      </c>
      <c r="I2" s="5">
        <v>0</v>
      </c>
      <c r="J2" s="5">
        <v>0</v>
      </c>
      <c r="K2" s="2"/>
      <c r="L2" s="1"/>
      <c r="M2" s="1"/>
    </row>
    <row r="3" spans="1:13" x14ac:dyDescent="0.25">
      <c r="A3" s="1" t="s">
        <v>18</v>
      </c>
      <c r="B3" s="5">
        <v>10</v>
      </c>
      <c r="C3" s="5">
        <v>14</v>
      </c>
      <c r="D3" s="5">
        <v>10</v>
      </c>
      <c r="E3" s="5">
        <v>0</v>
      </c>
      <c r="F3" s="5">
        <f t="shared" si="0"/>
        <v>0</v>
      </c>
      <c r="G3" s="5">
        <f t="shared" si="1"/>
        <v>-4</v>
      </c>
      <c r="H3" s="5">
        <f t="shared" si="2"/>
        <v>4</v>
      </c>
      <c r="I3" s="5">
        <v>0</v>
      </c>
      <c r="J3" s="5">
        <v>0</v>
      </c>
    </row>
    <row r="4" spans="1:13" x14ac:dyDescent="0.25">
      <c r="A4" s="1" t="s">
        <v>7</v>
      </c>
      <c r="B4" s="5">
        <v>7</v>
      </c>
      <c r="C4" s="5">
        <v>11</v>
      </c>
      <c r="D4" s="5">
        <v>6</v>
      </c>
      <c r="E4" s="5">
        <v>0</v>
      </c>
      <c r="F4" s="5">
        <f t="shared" si="0"/>
        <v>-1</v>
      </c>
      <c r="G4" s="5">
        <f t="shared" si="1"/>
        <v>-5</v>
      </c>
      <c r="H4" s="5">
        <f t="shared" si="2"/>
        <v>4</v>
      </c>
      <c r="I4" s="5">
        <v>0</v>
      </c>
      <c r="J4" s="5">
        <v>0</v>
      </c>
    </row>
    <row r="5" spans="1:13" x14ac:dyDescent="0.25">
      <c r="A5" s="1" t="s">
        <v>8</v>
      </c>
      <c r="B5" s="5">
        <v>11</v>
      </c>
      <c r="C5" s="5">
        <v>17</v>
      </c>
      <c r="D5" s="5">
        <v>11</v>
      </c>
      <c r="E5" s="5">
        <v>0</v>
      </c>
      <c r="F5" s="5">
        <f t="shared" si="0"/>
        <v>0</v>
      </c>
      <c r="G5" s="5">
        <f t="shared" si="1"/>
        <v>-6</v>
      </c>
      <c r="H5" s="5">
        <f t="shared" si="2"/>
        <v>6</v>
      </c>
      <c r="I5" s="5">
        <v>1</v>
      </c>
      <c r="J5" s="5">
        <v>0</v>
      </c>
    </row>
    <row r="6" spans="1:13" x14ac:dyDescent="0.25">
      <c r="A6" s="1" t="s">
        <v>6</v>
      </c>
      <c r="B6" s="5">
        <v>11</v>
      </c>
      <c r="C6" s="5">
        <v>13</v>
      </c>
      <c r="D6" s="5">
        <v>10</v>
      </c>
      <c r="E6" s="5">
        <v>1</v>
      </c>
      <c r="F6" s="5">
        <f t="shared" si="0"/>
        <v>-1</v>
      </c>
      <c r="G6" s="5">
        <f t="shared" si="1"/>
        <v>-3</v>
      </c>
      <c r="H6" s="5">
        <f t="shared" si="2"/>
        <v>2</v>
      </c>
      <c r="I6" s="5">
        <v>1</v>
      </c>
      <c r="J6" s="5">
        <v>0</v>
      </c>
    </row>
    <row r="7" spans="1:13" x14ac:dyDescent="0.25">
      <c r="A7" s="1" t="s">
        <v>18</v>
      </c>
      <c r="B7" s="5">
        <v>10</v>
      </c>
      <c r="C7" s="5">
        <v>15</v>
      </c>
      <c r="D7" s="5">
        <v>8</v>
      </c>
      <c r="E7" s="5">
        <v>1</v>
      </c>
      <c r="F7" s="5">
        <f t="shared" si="0"/>
        <v>-2</v>
      </c>
      <c r="G7" s="5">
        <f t="shared" si="1"/>
        <v>-7</v>
      </c>
      <c r="H7" s="5">
        <f t="shared" si="2"/>
        <v>5</v>
      </c>
      <c r="I7" s="5">
        <v>1</v>
      </c>
      <c r="J7" s="5">
        <v>0</v>
      </c>
    </row>
    <row r="8" spans="1:13" x14ac:dyDescent="0.25">
      <c r="A8" s="1" t="s">
        <v>7</v>
      </c>
      <c r="B8" s="5">
        <v>7</v>
      </c>
      <c r="C8" s="5">
        <v>8</v>
      </c>
      <c r="D8" s="5">
        <v>8</v>
      </c>
      <c r="E8" s="5">
        <v>1</v>
      </c>
      <c r="F8" s="5">
        <f t="shared" si="0"/>
        <v>1</v>
      </c>
      <c r="G8" s="5">
        <f t="shared" si="1"/>
        <v>0</v>
      </c>
      <c r="H8" s="5">
        <f t="shared" si="2"/>
        <v>1</v>
      </c>
      <c r="I8" s="5">
        <v>1</v>
      </c>
      <c r="J8" s="5">
        <v>0</v>
      </c>
    </row>
    <row r="9" spans="1:13" x14ac:dyDescent="0.25">
      <c r="A9" s="1" t="s">
        <v>8</v>
      </c>
      <c r="B9" s="5">
        <v>10</v>
      </c>
      <c r="C9" s="5">
        <v>14</v>
      </c>
      <c r="D9" s="5">
        <v>8</v>
      </c>
      <c r="E9" s="5">
        <v>1</v>
      </c>
      <c r="F9" s="5">
        <f t="shared" si="0"/>
        <v>-2</v>
      </c>
      <c r="G9" s="5">
        <f t="shared" si="1"/>
        <v>-6</v>
      </c>
      <c r="H9" s="5">
        <f t="shared" si="2"/>
        <v>4</v>
      </c>
      <c r="I9" s="5">
        <v>0</v>
      </c>
      <c r="J9" s="5">
        <v>0</v>
      </c>
    </row>
    <row r="10" spans="1:13" x14ac:dyDescent="0.25">
      <c r="A10" s="1" t="s">
        <v>2</v>
      </c>
      <c r="B10" s="5">
        <v>12</v>
      </c>
      <c r="C10" s="5">
        <v>12</v>
      </c>
      <c r="D10" s="5">
        <v>10</v>
      </c>
      <c r="E10" s="5">
        <v>0</v>
      </c>
      <c r="F10" s="5">
        <f t="shared" si="0"/>
        <v>-2</v>
      </c>
      <c r="G10" s="5">
        <f t="shared" si="1"/>
        <v>-2</v>
      </c>
      <c r="H10" s="5">
        <f t="shared" si="2"/>
        <v>0</v>
      </c>
      <c r="I10" s="5">
        <v>0</v>
      </c>
      <c r="J10" s="5">
        <v>1</v>
      </c>
    </row>
    <row r="11" spans="1:13" x14ac:dyDescent="0.25">
      <c r="A11" s="1" t="s">
        <v>3</v>
      </c>
      <c r="B11" s="5">
        <v>10</v>
      </c>
      <c r="C11" s="5">
        <v>11</v>
      </c>
      <c r="D11" s="5">
        <v>10</v>
      </c>
      <c r="E11" s="5">
        <v>0</v>
      </c>
      <c r="F11" s="5">
        <f t="shared" si="0"/>
        <v>0</v>
      </c>
      <c r="G11" s="5">
        <f t="shared" si="1"/>
        <v>-1</v>
      </c>
      <c r="H11" s="5">
        <f t="shared" si="2"/>
        <v>1</v>
      </c>
      <c r="I11" s="5">
        <v>1</v>
      </c>
      <c r="J11" s="5">
        <v>1</v>
      </c>
    </row>
    <row r="12" spans="1:13" x14ac:dyDescent="0.25">
      <c r="A12" s="1" t="s">
        <v>4</v>
      </c>
      <c r="B12" s="5">
        <v>8</v>
      </c>
      <c r="C12" s="5">
        <v>15</v>
      </c>
      <c r="D12" s="5">
        <v>9</v>
      </c>
      <c r="E12" s="5">
        <v>0</v>
      </c>
      <c r="F12" s="5">
        <f t="shared" si="0"/>
        <v>1</v>
      </c>
      <c r="G12" s="5">
        <f t="shared" si="1"/>
        <v>-6</v>
      </c>
      <c r="H12" s="5">
        <f t="shared" si="2"/>
        <v>7</v>
      </c>
      <c r="I12" s="5">
        <v>0</v>
      </c>
      <c r="J12" s="5">
        <v>1</v>
      </c>
    </row>
    <row r="13" spans="1:13" x14ac:dyDescent="0.25">
      <c r="A13" s="1" t="s">
        <v>5</v>
      </c>
      <c r="B13" s="5">
        <v>13</v>
      </c>
      <c r="C13" s="5">
        <v>14</v>
      </c>
      <c r="D13" s="5">
        <v>10</v>
      </c>
      <c r="E13" s="5">
        <v>0</v>
      </c>
      <c r="F13" s="5">
        <f t="shared" si="0"/>
        <v>-3</v>
      </c>
      <c r="G13" s="5">
        <f t="shared" si="1"/>
        <v>-4</v>
      </c>
      <c r="H13" s="5">
        <f t="shared" si="2"/>
        <v>1</v>
      </c>
      <c r="I13" s="5">
        <v>1</v>
      </c>
      <c r="J13" s="5">
        <v>1</v>
      </c>
    </row>
    <row r="14" spans="1:13" x14ac:dyDescent="0.25">
      <c r="A14" s="1" t="s">
        <v>11</v>
      </c>
      <c r="B14" s="5">
        <v>10</v>
      </c>
      <c r="C14" s="5">
        <v>6</v>
      </c>
      <c r="D14" s="5">
        <v>11</v>
      </c>
      <c r="E14" s="5">
        <v>0</v>
      </c>
      <c r="F14" s="5">
        <f t="shared" si="0"/>
        <v>1</v>
      </c>
      <c r="G14" s="5">
        <f t="shared" si="1"/>
        <v>5</v>
      </c>
      <c r="H14" s="5">
        <f t="shared" si="2"/>
        <v>-4</v>
      </c>
      <c r="I14" s="5">
        <v>0</v>
      </c>
      <c r="J14" s="5">
        <v>1</v>
      </c>
    </row>
    <row r="15" spans="1:13" x14ac:dyDescent="0.25">
      <c r="A15" s="1" t="s">
        <v>9</v>
      </c>
      <c r="B15" s="5">
        <v>13</v>
      </c>
      <c r="C15" s="5">
        <v>12</v>
      </c>
      <c r="D15" s="5">
        <v>14</v>
      </c>
      <c r="E15" s="5">
        <v>0</v>
      </c>
      <c r="F15" s="5">
        <f t="shared" si="0"/>
        <v>1</v>
      </c>
      <c r="G15" s="5">
        <f t="shared" si="1"/>
        <v>2</v>
      </c>
      <c r="H15" s="5">
        <f t="shared" si="2"/>
        <v>-1</v>
      </c>
      <c r="I15" s="5">
        <v>1</v>
      </c>
      <c r="J15" s="5">
        <v>1</v>
      </c>
    </row>
    <row r="16" spans="1:13" x14ac:dyDescent="0.25">
      <c r="A16" s="1" t="s">
        <v>2</v>
      </c>
      <c r="B16" s="5">
        <v>12</v>
      </c>
      <c r="C16" s="5">
        <v>13</v>
      </c>
      <c r="D16" s="5">
        <v>7</v>
      </c>
      <c r="E16" s="5">
        <v>1</v>
      </c>
      <c r="F16" s="5">
        <f t="shared" si="0"/>
        <v>-5</v>
      </c>
      <c r="G16" s="5">
        <f t="shared" si="1"/>
        <v>-6</v>
      </c>
      <c r="H16" s="5">
        <f t="shared" si="2"/>
        <v>1</v>
      </c>
      <c r="I16" s="5">
        <v>1</v>
      </c>
      <c r="J16" s="5">
        <v>1</v>
      </c>
    </row>
    <row r="17" spans="1:10" x14ac:dyDescent="0.25">
      <c r="A17" s="1" t="s">
        <v>3</v>
      </c>
      <c r="B17" s="5">
        <v>11</v>
      </c>
      <c r="C17" s="5">
        <v>11</v>
      </c>
      <c r="D17" s="5">
        <v>8</v>
      </c>
      <c r="E17" s="5">
        <v>1</v>
      </c>
      <c r="F17" s="5">
        <f t="shared" si="0"/>
        <v>-3</v>
      </c>
      <c r="G17" s="5">
        <f t="shared" si="1"/>
        <v>-3</v>
      </c>
      <c r="H17" s="5">
        <f t="shared" si="2"/>
        <v>0</v>
      </c>
      <c r="I17" s="5">
        <v>0</v>
      </c>
      <c r="J17" s="5">
        <v>1</v>
      </c>
    </row>
    <row r="18" spans="1:10" x14ac:dyDescent="0.25">
      <c r="A18" s="1" t="s">
        <v>4</v>
      </c>
      <c r="B18" s="5">
        <v>12</v>
      </c>
      <c r="C18" s="5">
        <v>15</v>
      </c>
      <c r="D18" s="5">
        <v>8</v>
      </c>
      <c r="E18" s="5">
        <v>1</v>
      </c>
      <c r="F18" s="5">
        <f t="shared" si="0"/>
        <v>-4</v>
      </c>
      <c r="G18" s="5">
        <f t="shared" si="1"/>
        <v>-7</v>
      </c>
      <c r="H18" s="5">
        <f t="shared" si="2"/>
        <v>3</v>
      </c>
      <c r="I18" s="5">
        <v>1</v>
      </c>
      <c r="J18" s="5">
        <v>1</v>
      </c>
    </row>
    <row r="19" spans="1:10" x14ac:dyDescent="0.25">
      <c r="A19" s="1" t="s">
        <v>5</v>
      </c>
      <c r="B19" s="5">
        <v>13</v>
      </c>
      <c r="C19" s="5">
        <v>14</v>
      </c>
      <c r="D19" s="5">
        <v>12</v>
      </c>
      <c r="E19" s="5">
        <v>1</v>
      </c>
      <c r="F19" s="5">
        <f t="shared" si="0"/>
        <v>-1</v>
      </c>
      <c r="G19" s="5">
        <f t="shared" si="1"/>
        <v>-2</v>
      </c>
      <c r="H19" s="5">
        <f t="shared" si="2"/>
        <v>1</v>
      </c>
      <c r="I19" s="5">
        <v>0</v>
      </c>
      <c r="J19" s="5">
        <v>1</v>
      </c>
    </row>
    <row r="20" spans="1:10" x14ac:dyDescent="0.25">
      <c r="A20" s="1" t="s">
        <v>11</v>
      </c>
      <c r="B20" s="5">
        <v>8</v>
      </c>
      <c r="C20" s="5">
        <v>10</v>
      </c>
      <c r="D20" s="5">
        <v>6</v>
      </c>
      <c r="E20" s="5">
        <v>1</v>
      </c>
      <c r="F20" s="5">
        <f t="shared" si="0"/>
        <v>-2</v>
      </c>
      <c r="G20" s="5">
        <f t="shared" si="1"/>
        <v>-4</v>
      </c>
      <c r="H20" s="5">
        <f t="shared" si="2"/>
        <v>2</v>
      </c>
      <c r="I20" s="5">
        <v>1</v>
      </c>
      <c r="J20" s="5">
        <v>1</v>
      </c>
    </row>
    <row r="21" spans="1:10" x14ac:dyDescent="0.25">
      <c r="A21" s="1" t="s">
        <v>9</v>
      </c>
      <c r="B21" s="5">
        <v>10</v>
      </c>
      <c r="C21" s="5">
        <v>11</v>
      </c>
      <c r="D21" s="5">
        <v>10</v>
      </c>
      <c r="E21" s="5">
        <v>1</v>
      </c>
      <c r="F21" s="5">
        <f t="shared" si="0"/>
        <v>0</v>
      </c>
      <c r="G21" s="5">
        <f t="shared" si="1"/>
        <v>-1</v>
      </c>
      <c r="H21" s="5">
        <f t="shared" si="2"/>
        <v>1</v>
      </c>
      <c r="I21" s="5">
        <v>0</v>
      </c>
      <c r="J21" s="5">
        <v>1</v>
      </c>
    </row>
    <row r="22" spans="1:10" x14ac:dyDescent="0.25">
      <c r="I22" s="1"/>
      <c r="J22" s="1"/>
    </row>
    <row r="23" spans="1:10" x14ac:dyDescent="0.25">
      <c r="I23" s="1"/>
      <c r="J23" s="1"/>
    </row>
    <row r="24" spans="1:10" x14ac:dyDescent="0.25">
      <c r="I24" s="1"/>
      <c r="J24" s="1"/>
    </row>
    <row r="25" spans="1:10" x14ac:dyDescent="0.25">
      <c r="I25" s="1"/>
      <c r="J25" s="1"/>
    </row>
    <row r="26" spans="1:10" x14ac:dyDescent="0.25">
      <c r="I26" s="1"/>
      <c r="J26" s="1"/>
    </row>
    <row r="27" spans="1:10" x14ac:dyDescent="0.25">
      <c r="I27" s="1"/>
      <c r="J27" s="1"/>
    </row>
    <row r="28" spans="1:10" x14ac:dyDescent="0.25">
      <c r="I28" s="1"/>
      <c r="J28" s="1"/>
    </row>
    <row r="29" spans="1:10" x14ac:dyDescent="0.25">
      <c r="I29" s="1"/>
      <c r="J29" s="1"/>
    </row>
    <row r="30" spans="1:10" x14ac:dyDescent="0.25">
      <c r="I30" s="1"/>
      <c r="J30" s="1"/>
    </row>
    <row r="31" spans="1:10" x14ac:dyDescent="0.25">
      <c r="I31" s="1"/>
      <c r="J31" s="1"/>
    </row>
    <row r="32" spans="1:10" x14ac:dyDescent="0.25">
      <c r="I32" s="1"/>
      <c r="J32" s="1"/>
    </row>
    <row r="33" spans="9:10" x14ac:dyDescent="0.25">
      <c r="I33" s="1"/>
      <c r="J33" s="1"/>
    </row>
    <row r="34" spans="9:10" x14ac:dyDescent="0.25">
      <c r="I34" s="1"/>
      <c r="J34" s="1"/>
    </row>
    <row r="35" spans="9:10" x14ac:dyDescent="0.25">
      <c r="I35" s="1"/>
      <c r="J35" s="1"/>
    </row>
    <row r="36" spans="9:10" x14ac:dyDescent="0.25">
      <c r="I36" s="1"/>
      <c r="J36" s="1"/>
    </row>
    <row r="37" spans="9:10" x14ac:dyDescent="0.25">
      <c r="I37" s="1"/>
      <c r="J37" s="1"/>
    </row>
    <row r="38" spans="9:10" x14ac:dyDescent="0.25">
      <c r="I38" s="1"/>
      <c r="J38" s="1"/>
    </row>
    <row r="39" spans="9:10" x14ac:dyDescent="0.25">
      <c r="I39" s="1"/>
      <c r="J39" s="1"/>
    </row>
  </sheetData>
  <sortState xmlns:xlrd2="http://schemas.microsoft.com/office/spreadsheetml/2017/richdata2" ref="A2:J40">
    <sortCondition ref="J1:J4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08A1-F809-4165-99F9-2A735367C64B}">
  <dimension ref="A1:B12"/>
  <sheetViews>
    <sheetView tabSelected="1" workbookViewId="0">
      <selection activeCell="B5" sqref="B5"/>
    </sheetView>
  </sheetViews>
  <sheetFormatPr defaultRowHeight="15" x14ac:dyDescent="0.25"/>
  <cols>
    <col min="1" max="1" width="24.5703125" customWidth="1"/>
    <col min="2" max="2" width="27.5703125" customWidth="1"/>
  </cols>
  <sheetData>
    <row r="1" spans="1:2" x14ac:dyDescent="0.25">
      <c r="A1" s="6" t="s">
        <v>26</v>
      </c>
      <c r="B1" s="6" t="s">
        <v>27</v>
      </c>
    </row>
    <row r="2" spans="1:2" x14ac:dyDescent="0.25">
      <c r="A2" t="s">
        <v>33</v>
      </c>
      <c r="B2" t="s">
        <v>34</v>
      </c>
    </row>
    <row r="3" spans="1:2" x14ac:dyDescent="0.25">
      <c r="A3" t="s">
        <v>35</v>
      </c>
      <c r="B3" t="s">
        <v>36</v>
      </c>
    </row>
    <row r="4" spans="1:2" x14ac:dyDescent="0.25">
      <c r="A4" t="s">
        <v>10</v>
      </c>
      <c r="B4" t="s">
        <v>37</v>
      </c>
    </row>
    <row r="5" spans="1:2" x14ac:dyDescent="0.25">
      <c r="A5" s="4" t="s">
        <v>1</v>
      </c>
      <c r="B5" s="4" t="s">
        <v>21</v>
      </c>
    </row>
    <row r="6" spans="1:2" x14ac:dyDescent="0.25">
      <c r="A6" t="s">
        <v>30</v>
      </c>
      <c r="B6" t="s">
        <v>28</v>
      </c>
    </row>
    <row r="7" spans="1:2" x14ac:dyDescent="0.25">
      <c r="A7" t="s">
        <v>16</v>
      </c>
      <c r="B7" t="s">
        <v>29</v>
      </c>
    </row>
    <row r="8" spans="1:2" x14ac:dyDescent="0.25">
      <c r="A8" t="s">
        <v>17</v>
      </c>
      <c r="B8" t="s">
        <v>31</v>
      </c>
    </row>
    <row r="9" spans="1:2" x14ac:dyDescent="0.25">
      <c r="A9" t="s">
        <v>22</v>
      </c>
      <c r="B9" t="s">
        <v>23</v>
      </c>
    </row>
    <row r="10" spans="1:2" x14ac:dyDescent="0.25">
      <c r="A10" t="s">
        <v>24</v>
      </c>
      <c r="B10" t="s">
        <v>25</v>
      </c>
    </row>
    <row r="12" spans="1:2" x14ac:dyDescent="0.25">
      <c r="A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Positive Affect</vt:lpstr>
      <vt:lpstr>Negative Affect</vt:lpstr>
      <vt:lpstr>STAI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 Woodruff</dc:creator>
  <cp:lastModifiedBy>Abbott, Renee</cp:lastModifiedBy>
  <dcterms:created xsi:type="dcterms:W3CDTF">2021-12-06T22:40:44Z</dcterms:created>
  <dcterms:modified xsi:type="dcterms:W3CDTF">2025-11-25T16:25:38Z</dcterms:modified>
</cp:coreProperties>
</file>